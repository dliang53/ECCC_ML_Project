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ick\OneDrive\Desktop\ECCC Project\data\"/>
    </mc:Choice>
  </mc:AlternateContent>
  <xr:revisionPtr revIDLastSave="0" documentId="13_ncr:1_{D46F58EE-B637-4E9B-9E4E-2F5964F8FF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K27" i="1"/>
  <c r="J27" i="1"/>
  <c r="I27" i="1"/>
  <c r="K26" i="1"/>
  <c r="J26" i="1"/>
  <c r="I26" i="1"/>
  <c r="K25" i="1"/>
  <c r="J25" i="1"/>
  <c r="I25" i="1"/>
  <c r="K20" i="1"/>
  <c r="J20" i="1"/>
  <c r="I20" i="1"/>
  <c r="K19" i="1"/>
  <c r="J19" i="1"/>
  <c r="I19" i="1"/>
  <c r="K18" i="1"/>
  <c r="J18" i="1"/>
  <c r="I18" i="1"/>
  <c r="K17" i="1"/>
  <c r="J17" i="1"/>
  <c r="I17" i="1"/>
  <c r="K12" i="1"/>
  <c r="J12" i="1"/>
  <c r="I12" i="1"/>
  <c r="K11" i="1"/>
  <c r="J11" i="1"/>
  <c r="I11" i="1"/>
  <c r="K10" i="1"/>
  <c r="J10" i="1"/>
  <c r="I10" i="1"/>
  <c r="K9" i="1"/>
  <c r="J9" i="1"/>
  <c r="I9" i="1"/>
</calcChain>
</file>

<file path=xl/sharedStrings.xml><?xml version="1.0" encoding="utf-8"?>
<sst xmlns="http://schemas.openxmlformats.org/spreadsheetml/2006/main" count="101" uniqueCount="27">
  <si>
    <t>Sample</t>
  </si>
  <si>
    <t>Model</t>
  </si>
  <si>
    <t>Animals</t>
  </si>
  <si>
    <t>Human</t>
  </si>
  <si>
    <t>LakePulse</t>
  </si>
  <si>
    <t>ani_rep1</t>
  </si>
  <si>
    <t>Random Forest</t>
  </si>
  <si>
    <t>ani_rep2</t>
  </si>
  <si>
    <t>ani_rep3</t>
  </si>
  <si>
    <t>bal_rep1</t>
  </si>
  <si>
    <t>bal_rep2</t>
  </si>
  <si>
    <t>bal_rep3</t>
  </si>
  <si>
    <t>human_rep1</t>
  </si>
  <si>
    <t>human_rep2</t>
  </si>
  <si>
    <t>human_rep3</t>
  </si>
  <si>
    <t>lprep1</t>
  </si>
  <si>
    <t>lprep2</t>
  </si>
  <si>
    <t>lprep3</t>
  </si>
  <si>
    <t>XGBoost</t>
  </si>
  <si>
    <t>GLMNET</t>
  </si>
  <si>
    <t>Humans</t>
  </si>
  <si>
    <t>Lakepulse</t>
  </si>
  <si>
    <t>Animal</t>
  </si>
  <si>
    <t>Balanced</t>
  </si>
  <si>
    <t>Average Random Forest Prediction Probabilities Across True Source Categories</t>
  </si>
  <si>
    <t xml:space="preserve">Average GLMNet Prediction Probabilities Across True Source Categories </t>
  </si>
  <si>
    <t xml:space="preserve">Average XGBoost Forest Prediction Probabilities Across True Source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</si>
</sst>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4" workbookViewId="0">
      <selection activeCell="H24" sqref="H24"/>
    </sheetView>
  </sheetViews>
  <sheetFormatPr defaultRowHeight="14.4" x14ac:dyDescent="0.3"/>
  <cols>
    <col min="1" max="1" width="13.21875" customWidth="1"/>
    <col min="7" max="8" width="10.21875" customWidth="1"/>
    <col min="9" max="9" width="15.77734375" customWidth="1"/>
    <col min="10" max="10" width="12.88671875" customWidth="1"/>
    <col min="11" max="11" width="15.5546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3">
      <c r="A2" t="s">
        <v>5</v>
      </c>
      <c r="B2" t="s">
        <v>6</v>
      </c>
      <c r="C2">
        <v>0.65800000000000003</v>
      </c>
      <c r="D2">
        <v>0.27800000000000002</v>
      </c>
      <c r="E2">
        <v>6.4000000000000001E-2</v>
      </c>
    </row>
    <row r="3" spans="1:12" x14ac:dyDescent="0.3">
      <c r="A3" t="s">
        <v>7</v>
      </c>
      <c r="B3" t="s">
        <v>6</v>
      </c>
      <c r="C3">
        <v>0.68600000000000005</v>
      </c>
      <c r="D3">
        <v>0.254</v>
      </c>
      <c r="E3">
        <v>0.06</v>
      </c>
    </row>
    <row r="4" spans="1:12" x14ac:dyDescent="0.3">
      <c r="A4" t="s">
        <v>8</v>
      </c>
      <c r="B4" t="s">
        <v>6</v>
      </c>
      <c r="C4">
        <v>0.7</v>
      </c>
      <c r="D4">
        <v>0.28799999999999998</v>
      </c>
      <c r="E4">
        <v>1.2E-2</v>
      </c>
    </row>
    <row r="5" spans="1:12" x14ac:dyDescent="0.3">
      <c r="A5" t="s">
        <v>9</v>
      </c>
      <c r="B5" t="s">
        <v>6</v>
      </c>
      <c r="C5">
        <v>0.29399999999999998</v>
      </c>
      <c r="D5">
        <v>0.55600000000000005</v>
      </c>
      <c r="E5">
        <v>0.15</v>
      </c>
    </row>
    <row r="6" spans="1:12" x14ac:dyDescent="0.3">
      <c r="A6" t="s">
        <v>10</v>
      </c>
      <c r="B6" t="s">
        <v>6</v>
      </c>
      <c r="C6">
        <v>0.3</v>
      </c>
      <c r="D6">
        <v>0.52</v>
      </c>
      <c r="E6">
        <v>0.18</v>
      </c>
    </row>
    <row r="7" spans="1:12" ht="15.6" x14ac:dyDescent="0.3">
      <c r="A7" t="s">
        <v>11</v>
      </c>
      <c r="B7" t="s">
        <v>6</v>
      </c>
      <c r="C7">
        <v>0.32600000000000001</v>
      </c>
      <c r="D7">
        <v>0.53800000000000003</v>
      </c>
      <c r="E7">
        <v>0.13600000000000001</v>
      </c>
      <c r="G7" s="8" t="s">
        <v>24</v>
      </c>
      <c r="H7" s="8"/>
      <c r="I7" s="8"/>
      <c r="J7" s="8"/>
      <c r="K7" s="8"/>
      <c r="L7" s="8"/>
    </row>
    <row r="8" spans="1:12" ht="15.6" x14ac:dyDescent="0.3">
      <c r="A8" t="s">
        <v>12</v>
      </c>
      <c r="B8" t="s">
        <v>6</v>
      </c>
      <c r="C8">
        <v>8.7999999999999995E-2</v>
      </c>
      <c r="D8">
        <v>0.83</v>
      </c>
      <c r="E8">
        <v>8.2000000000000003E-2</v>
      </c>
      <c r="H8" s="2"/>
      <c r="I8" s="2" t="s">
        <v>2</v>
      </c>
      <c r="J8" s="2" t="s">
        <v>20</v>
      </c>
      <c r="K8" s="2" t="s">
        <v>21</v>
      </c>
    </row>
    <row r="9" spans="1:12" ht="15.6" x14ac:dyDescent="0.3">
      <c r="A9" t="s">
        <v>13</v>
      </c>
      <c r="B9" t="s">
        <v>6</v>
      </c>
      <c r="C9">
        <v>0.106</v>
      </c>
      <c r="D9">
        <v>0.80400000000000005</v>
      </c>
      <c r="E9">
        <v>0.09</v>
      </c>
      <c r="H9" s="2" t="s">
        <v>22</v>
      </c>
      <c r="I9" s="3">
        <f>AVERAGE(C2:C4)</f>
        <v>0.68133333333333335</v>
      </c>
      <c r="J9" s="3">
        <f>AVERAGE(D2:D4)</f>
        <v>0.27333333333333337</v>
      </c>
      <c r="K9" s="3">
        <f>AVERAGE(E2:E4)</f>
        <v>4.5333333333333337E-2</v>
      </c>
    </row>
    <row r="10" spans="1:12" ht="15.6" x14ac:dyDescent="0.3">
      <c r="A10" t="s">
        <v>14</v>
      </c>
      <c r="B10" t="s">
        <v>6</v>
      </c>
      <c r="C10">
        <v>7.5999999999999998E-2</v>
      </c>
      <c r="D10">
        <v>0.91</v>
      </c>
      <c r="E10">
        <v>1.4E-2</v>
      </c>
      <c r="H10" s="2" t="s">
        <v>20</v>
      </c>
      <c r="I10" s="3">
        <f>AVERAGE(C8:C10)</f>
        <v>9.0000000000000011E-2</v>
      </c>
      <c r="J10" s="3">
        <f t="shared" ref="J10:K10" si="0">AVERAGE(D8:D10)</f>
        <v>0.84799999999999998</v>
      </c>
      <c r="K10" s="3">
        <f t="shared" si="0"/>
        <v>6.2E-2</v>
      </c>
    </row>
    <row r="11" spans="1:12" ht="15.6" x14ac:dyDescent="0.3">
      <c r="A11" t="s">
        <v>15</v>
      </c>
      <c r="B11" t="s">
        <v>6</v>
      </c>
      <c r="C11">
        <v>0.10199999999999999</v>
      </c>
      <c r="D11">
        <v>0.52800000000000002</v>
      </c>
      <c r="E11">
        <v>0.37</v>
      </c>
      <c r="H11" s="2" t="s">
        <v>21</v>
      </c>
      <c r="I11" s="3">
        <f>AVERAGE(C11:C13)</f>
        <v>0.11066666666666665</v>
      </c>
      <c r="J11" s="3">
        <f t="shared" ref="J11:K11" si="1">AVERAGE(D11:D13)</f>
        <v>0.47466666666666663</v>
      </c>
      <c r="K11" s="3">
        <f t="shared" si="1"/>
        <v>0.41466666666666668</v>
      </c>
    </row>
    <row r="12" spans="1:12" ht="15.6" x14ac:dyDescent="0.3">
      <c r="A12" t="s">
        <v>16</v>
      </c>
      <c r="B12" t="s">
        <v>6</v>
      </c>
      <c r="C12">
        <v>0.11799999999999999</v>
      </c>
      <c r="D12">
        <v>0.36399999999999999</v>
      </c>
      <c r="E12">
        <v>0.51800000000000002</v>
      </c>
      <c r="H12" s="2" t="s">
        <v>23</v>
      </c>
      <c r="I12" s="3">
        <f>AVERAGE(C5:C7)</f>
        <v>0.30666666666666664</v>
      </c>
      <c r="J12" s="3">
        <f t="shared" ref="J12:K12" si="2">AVERAGE(D5:D7)</f>
        <v>0.53800000000000003</v>
      </c>
      <c r="K12" s="3">
        <f t="shared" si="2"/>
        <v>0.15533333333333332</v>
      </c>
    </row>
    <row r="13" spans="1:12" x14ac:dyDescent="0.3">
      <c r="A13" t="s">
        <v>17</v>
      </c>
      <c r="B13" t="s">
        <v>6</v>
      </c>
      <c r="C13">
        <v>0.112</v>
      </c>
      <c r="D13">
        <v>0.53200000000000003</v>
      </c>
      <c r="E13">
        <v>0.35599999999999998</v>
      </c>
    </row>
    <row r="14" spans="1:12" x14ac:dyDescent="0.3">
      <c r="A14" t="s">
        <v>5</v>
      </c>
      <c r="B14" t="s">
        <v>18</v>
      </c>
      <c r="C14">
        <v>0.2292325496673584</v>
      </c>
      <c r="D14">
        <v>0.6591036319732666</v>
      </c>
      <c r="E14">
        <v>0.1116638258099556</v>
      </c>
    </row>
    <row r="15" spans="1:12" ht="15.6" x14ac:dyDescent="0.3">
      <c r="A15" t="s">
        <v>7</v>
      </c>
      <c r="B15" t="s">
        <v>18</v>
      </c>
      <c r="C15">
        <v>0.64646846055984497</v>
      </c>
      <c r="D15">
        <v>0.21973218023777011</v>
      </c>
      <c r="E15">
        <v>0.1337994188070297</v>
      </c>
      <c r="G15" s="9" t="s">
        <v>26</v>
      </c>
      <c r="H15" s="9"/>
      <c r="I15" s="9"/>
      <c r="J15" s="9"/>
      <c r="K15" s="9"/>
      <c r="L15" s="9"/>
    </row>
    <row r="16" spans="1:12" ht="15.6" x14ac:dyDescent="0.3">
      <c r="A16" t="s">
        <v>8</v>
      </c>
      <c r="B16" t="s">
        <v>18</v>
      </c>
      <c r="C16">
        <v>0.44442853331565862</v>
      </c>
      <c r="D16">
        <v>0.51200485229492188</v>
      </c>
      <c r="E16">
        <v>4.356662929058075E-2</v>
      </c>
      <c r="H16" s="4"/>
      <c r="I16" s="4" t="s">
        <v>2</v>
      </c>
      <c r="J16" s="4" t="s">
        <v>20</v>
      </c>
      <c r="K16" s="4" t="s">
        <v>21</v>
      </c>
    </row>
    <row r="17" spans="1:12" ht="15.6" x14ac:dyDescent="0.3">
      <c r="A17" t="s">
        <v>9</v>
      </c>
      <c r="B17" t="s">
        <v>18</v>
      </c>
      <c r="C17">
        <v>2.7257826179265979E-2</v>
      </c>
      <c r="D17">
        <v>0.45446786284446722</v>
      </c>
      <c r="E17">
        <v>0.51827430725097656</v>
      </c>
      <c r="H17" s="4" t="s">
        <v>22</v>
      </c>
      <c r="I17" s="5">
        <f>AVERAGE(C14:C16)</f>
        <v>0.44004318118095398</v>
      </c>
      <c r="J17" s="5">
        <f t="shared" ref="J17:K17" si="3">AVERAGE(D14:D16)</f>
        <v>0.46361355483531952</v>
      </c>
      <c r="K17" s="5">
        <f t="shared" si="3"/>
        <v>9.6343291302522019E-2</v>
      </c>
    </row>
    <row r="18" spans="1:12" ht="15.6" x14ac:dyDescent="0.3">
      <c r="A18" t="s">
        <v>10</v>
      </c>
      <c r="B18" t="s">
        <v>18</v>
      </c>
      <c r="C18">
        <v>0.14935795962810519</v>
      </c>
      <c r="D18">
        <v>0.77097731828689575</v>
      </c>
      <c r="E18">
        <v>7.9664759337902069E-2</v>
      </c>
      <c r="H18" s="4" t="s">
        <v>20</v>
      </c>
      <c r="I18" s="5">
        <f>AVERAGE(C20:C22)</f>
        <v>1.6280528157949448E-2</v>
      </c>
      <c r="J18" s="5">
        <f>AVERAGE(D20:D22)</f>
        <v>0.96009498834609985</v>
      </c>
      <c r="K18" s="5">
        <f>AVERAGE(E20:E22)</f>
        <v>2.3624457729359467E-2</v>
      </c>
    </row>
    <row r="19" spans="1:12" ht="15.6" x14ac:dyDescent="0.3">
      <c r="A19" t="s">
        <v>11</v>
      </c>
      <c r="B19" t="s">
        <v>18</v>
      </c>
      <c r="C19">
        <v>3.0638627707958221E-2</v>
      </c>
      <c r="D19">
        <v>0.17672869563102719</v>
      </c>
      <c r="E19">
        <v>0.79263263940811157</v>
      </c>
      <c r="H19" s="4" t="s">
        <v>21</v>
      </c>
      <c r="I19" s="5">
        <f>AVERAGE(C23:C25)</f>
        <v>6.7490986548364162E-3</v>
      </c>
      <c r="J19" s="5">
        <f>AVERAGE(D23:D25)</f>
        <v>0.13069092916945615</v>
      </c>
      <c r="K19" s="5">
        <f>AVERAGE(E23:E25)</f>
        <v>0.862559974193573</v>
      </c>
    </row>
    <row r="20" spans="1:12" ht="15.6" x14ac:dyDescent="0.3">
      <c r="A20" t="s">
        <v>12</v>
      </c>
      <c r="B20" t="s">
        <v>18</v>
      </c>
      <c r="C20">
        <v>1.378115359693766E-2</v>
      </c>
      <c r="D20">
        <v>0.96273171901702881</v>
      </c>
      <c r="E20">
        <v>2.348711900413036E-2</v>
      </c>
      <c r="H20" s="4" t="s">
        <v>23</v>
      </c>
      <c r="I20" s="5">
        <f>AVERAGE(C17:C19)</f>
        <v>6.9084804505109801E-2</v>
      </c>
      <c r="J20" s="5">
        <f t="shared" ref="J20:K20" si="4">AVERAGE(D17:D19)</f>
        <v>0.46739129225413006</v>
      </c>
      <c r="K20" s="5">
        <f t="shared" si="4"/>
        <v>0.46352390199899673</v>
      </c>
    </row>
    <row r="21" spans="1:12" x14ac:dyDescent="0.3">
      <c r="A21" t="s">
        <v>13</v>
      </c>
      <c r="B21" t="s">
        <v>18</v>
      </c>
      <c r="C21">
        <v>1.3808556832373141E-2</v>
      </c>
      <c r="D21">
        <v>0.95038914680480957</v>
      </c>
      <c r="E21">
        <v>3.5802274942398071E-2</v>
      </c>
    </row>
    <row r="22" spans="1:12" x14ac:dyDescent="0.3">
      <c r="A22" t="s">
        <v>14</v>
      </c>
      <c r="B22" t="s">
        <v>18</v>
      </c>
      <c r="C22">
        <v>2.1251874044537541E-2</v>
      </c>
      <c r="D22">
        <v>0.96716409921646118</v>
      </c>
      <c r="E22">
        <v>1.158397924154997E-2</v>
      </c>
    </row>
    <row r="23" spans="1:12" ht="15.6" x14ac:dyDescent="0.3">
      <c r="A23" t="s">
        <v>15</v>
      </c>
      <c r="B23" t="s">
        <v>18</v>
      </c>
      <c r="C23">
        <v>5.5513475090265274E-3</v>
      </c>
      <c r="D23">
        <v>0.20148693025112149</v>
      </c>
      <c r="E23">
        <v>0.7929617166519165</v>
      </c>
      <c r="G23" s="8" t="s">
        <v>25</v>
      </c>
      <c r="H23" s="8"/>
      <c r="I23" s="8"/>
      <c r="J23" s="8"/>
      <c r="K23" s="8"/>
      <c r="L23" s="8"/>
    </row>
    <row r="24" spans="1:12" ht="15.6" x14ac:dyDescent="0.3">
      <c r="A24" t="s">
        <v>16</v>
      </c>
      <c r="B24" t="s">
        <v>18</v>
      </c>
      <c r="C24">
        <v>7.0293857716023922E-3</v>
      </c>
      <c r="D24">
        <v>3.0663510784506801E-2</v>
      </c>
      <c r="E24">
        <v>0.96230709552764893</v>
      </c>
      <c r="H24" s="6"/>
      <c r="I24" s="6" t="s">
        <v>2</v>
      </c>
      <c r="J24" s="6" t="s">
        <v>20</v>
      </c>
      <c r="K24" s="6" t="s">
        <v>21</v>
      </c>
    </row>
    <row r="25" spans="1:12" ht="15.6" x14ac:dyDescent="0.3">
      <c r="A25" t="s">
        <v>17</v>
      </c>
      <c r="B25" t="s">
        <v>18</v>
      </c>
      <c r="C25">
        <v>7.6665626838803291E-3</v>
      </c>
      <c r="D25">
        <v>0.1599223464727402</v>
      </c>
      <c r="E25">
        <v>0.83241111040115356</v>
      </c>
      <c r="H25" s="6" t="s">
        <v>22</v>
      </c>
      <c r="I25" s="7">
        <f>AVERAGE(C26:C28)</f>
        <v>0.92654025731494549</v>
      </c>
      <c r="J25" s="7">
        <f t="shared" ref="J25:K25" si="5">AVERAGE(D26:D28)</f>
        <v>5.0910388177672933E-2</v>
      </c>
      <c r="K25" s="7">
        <f t="shared" si="5"/>
        <v>2.2549354507381519E-2</v>
      </c>
    </row>
    <row r="26" spans="1:12" ht="15.6" x14ac:dyDescent="0.3">
      <c r="A26" t="s">
        <v>5</v>
      </c>
      <c r="B26" t="s">
        <v>19</v>
      </c>
      <c r="C26">
        <v>0.94751789349596005</v>
      </c>
      <c r="D26">
        <v>3.4500397741034167E-2</v>
      </c>
      <c r="E26">
        <v>1.798170876300581E-2</v>
      </c>
      <c r="H26" s="6" t="s">
        <v>20</v>
      </c>
      <c r="I26" s="7">
        <f>AVERAGE(C32:C34)</f>
        <v>2.9696132988778389E-2</v>
      </c>
      <c r="J26" s="7">
        <f t="shared" ref="J26:K26" si="6">AVERAGE(D32:D34)</f>
        <v>0.93425856040881117</v>
      </c>
      <c r="K26" s="7">
        <f t="shared" si="6"/>
        <v>3.6045306602410461E-2</v>
      </c>
    </row>
    <row r="27" spans="1:12" ht="15.6" x14ac:dyDescent="0.3">
      <c r="A27" t="s">
        <v>7</v>
      </c>
      <c r="B27" t="s">
        <v>19</v>
      </c>
      <c r="C27">
        <v>0.89109796487726878</v>
      </c>
      <c r="D27">
        <v>7.5457519278636517E-2</v>
      </c>
      <c r="E27">
        <v>3.3444515844094663E-2</v>
      </c>
      <c r="H27" s="6" t="s">
        <v>21</v>
      </c>
      <c r="I27" s="7">
        <f>AVERAGE(C35:C37)</f>
        <v>4.0215570609666455E-2</v>
      </c>
      <c r="J27" s="7">
        <f t="shared" ref="J27:K27" si="7">AVERAGE(D35:D37)</f>
        <v>8.7192190575036202E-2</v>
      </c>
      <c r="K27" s="7">
        <f t="shared" si="7"/>
        <v>0.87259223881529735</v>
      </c>
    </row>
    <row r="28" spans="1:12" ht="15.6" x14ac:dyDescent="0.3">
      <c r="A28" t="s">
        <v>8</v>
      </c>
      <c r="B28" t="s">
        <v>19</v>
      </c>
      <c r="C28">
        <v>0.94100491357160787</v>
      </c>
      <c r="D28">
        <v>4.2773247513348107E-2</v>
      </c>
      <c r="E28">
        <v>1.6221838915044081E-2</v>
      </c>
      <c r="H28" s="6" t="s">
        <v>23</v>
      </c>
      <c r="I28" s="7">
        <f>AVERAGE(C29:C31)</f>
        <v>0.29632251933552195</v>
      </c>
      <c r="J28" s="7">
        <f t="shared" ref="J28:K28" si="8">AVERAGE(D29:D31)</f>
        <v>0.37688255433898993</v>
      </c>
      <c r="K28" s="7">
        <f t="shared" si="8"/>
        <v>0.32679492632548818</v>
      </c>
    </row>
    <row r="29" spans="1:12" x14ac:dyDescent="0.3">
      <c r="A29" t="s">
        <v>9</v>
      </c>
      <c r="B29" t="s">
        <v>19</v>
      </c>
      <c r="C29">
        <v>0.23536408295370739</v>
      </c>
      <c r="D29">
        <v>0.28192780480227442</v>
      </c>
      <c r="E29">
        <v>0.48270811224401822</v>
      </c>
    </row>
    <row r="30" spans="1:12" x14ac:dyDescent="0.3">
      <c r="A30" t="s">
        <v>10</v>
      </c>
      <c r="B30" t="s">
        <v>19</v>
      </c>
      <c r="C30">
        <v>0.2200211258888724</v>
      </c>
      <c r="D30">
        <v>0.47231913124032998</v>
      </c>
      <c r="E30">
        <v>0.30765974287079761</v>
      </c>
    </row>
    <row r="31" spans="1:12" x14ac:dyDescent="0.3">
      <c r="A31" t="s">
        <v>11</v>
      </c>
      <c r="B31" t="s">
        <v>19</v>
      </c>
      <c r="C31">
        <v>0.43358234916398608</v>
      </c>
      <c r="D31">
        <v>0.37640072697436527</v>
      </c>
      <c r="E31">
        <v>0.19001692386164859</v>
      </c>
    </row>
    <row r="32" spans="1:12" x14ac:dyDescent="0.3">
      <c r="A32" t="s">
        <v>12</v>
      </c>
      <c r="B32" t="s">
        <v>19</v>
      </c>
      <c r="C32">
        <v>2.695562972001328E-2</v>
      </c>
      <c r="D32">
        <v>0.92828252900852071</v>
      </c>
      <c r="E32">
        <v>4.476184127146602E-2</v>
      </c>
    </row>
    <row r="33" spans="1:5" x14ac:dyDescent="0.3">
      <c r="A33" t="s">
        <v>13</v>
      </c>
      <c r="B33" t="s">
        <v>19</v>
      </c>
      <c r="C33">
        <v>2.3708544293847351E-2</v>
      </c>
      <c r="D33">
        <v>0.95182951612413902</v>
      </c>
      <c r="E33">
        <v>2.4461939582013599E-2</v>
      </c>
    </row>
    <row r="34" spans="1:5" x14ac:dyDescent="0.3">
      <c r="A34" t="s">
        <v>14</v>
      </c>
      <c r="B34" t="s">
        <v>19</v>
      </c>
      <c r="C34">
        <v>3.8424224952474537E-2</v>
      </c>
      <c r="D34">
        <v>0.92266363609377378</v>
      </c>
      <c r="E34">
        <v>3.8912138953751757E-2</v>
      </c>
    </row>
    <row r="35" spans="1:5" x14ac:dyDescent="0.3">
      <c r="A35" t="s">
        <v>15</v>
      </c>
      <c r="B35" t="s">
        <v>19</v>
      </c>
      <c r="C35">
        <v>2.2713013280425659E-2</v>
      </c>
      <c r="D35">
        <v>4.2005435602280927E-2</v>
      </c>
      <c r="E35">
        <v>0.9352815511172935</v>
      </c>
    </row>
    <row r="36" spans="1:5" x14ac:dyDescent="0.3">
      <c r="A36" t="s">
        <v>16</v>
      </c>
      <c r="B36" t="s">
        <v>19</v>
      </c>
      <c r="C36">
        <v>4.7679778727324942E-2</v>
      </c>
      <c r="D36">
        <v>9.0975394510630664E-2</v>
      </c>
      <c r="E36">
        <v>0.86134482676204438</v>
      </c>
    </row>
    <row r="37" spans="1:5" x14ac:dyDescent="0.3">
      <c r="A37" t="s">
        <v>17</v>
      </c>
      <c r="B37" t="s">
        <v>19</v>
      </c>
      <c r="C37">
        <v>5.0253919821248758E-2</v>
      </c>
      <c r="D37">
        <v>0.128595741612197</v>
      </c>
      <c r="E37">
        <v>0.82115033856655428</v>
      </c>
    </row>
  </sheetData>
  <mergeCells count="2">
    <mergeCell ref="G23:L23"/>
    <mergeCell ref="G7:L7"/>
  </mergeCells>
  <pageMargins left="0.7" right="0.7" top="0.75" bottom="0.75" header="0.3" footer="0.3"/>
  <ignoredErrors>
    <ignoredError sqref="I9:K12 I17:K20 I25:K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Derick Liang</cp:lastModifiedBy>
  <dcterms:created xsi:type="dcterms:W3CDTF">2025-12-08T18:25:18Z</dcterms:created>
  <dcterms:modified xsi:type="dcterms:W3CDTF">2025-12-08T19:25:45Z</dcterms:modified>
</cp:coreProperties>
</file>